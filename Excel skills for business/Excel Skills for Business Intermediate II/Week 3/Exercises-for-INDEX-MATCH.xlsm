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ul Haq\Desktop\Exceldemy\55-0142\"/>
    </mc:Choice>
  </mc:AlternateContent>
  <xr:revisionPtr revIDLastSave="0" documentId="13_ncr:1_{1F3B4A15-97DD-4728-A165-F5F61ACA73E7}" xr6:coauthVersionLast="47" xr6:coauthVersionMax="47" xr10:uidLastSave="{00000000-0000-0000-0000-000000000000}"/>
  <bookViews>
    <workbookView xWindow="810" yWindow="-120" windowWidth="28110" windowHeight="16440" xr2:uid="{00000000-000D-0000-FFFF-FFFF00000000}"/>
  </bookViews>
  <sheets>
    <sheet name="Problem" sheetId="6" r:id="rId1"/>
    <sheet name="Solution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6" i="5" l="1" a="1"/>
  <c r="B96" i="5" s="1"/>
  <c r="C148" i="5" a="1"/>
  <c r="C148" i="5" s="1"/>
  <c r="C147" i="5" a="1"/>
  <c r="C147" i="5" s="1"/>
  <c r="E115" i="5"/>
  <c r="E116" i="5"/>
  <c r="E117" i="5"/>
  <c r="E118" i="5"/>
  <c r="E119" i="5"/>
  <c r="E114" i="5"/>
  <c r="C109" i="5"/>
  <c r="D79" i="5" a="1"/>
  <c r="D79" i="5" s="1"/>
  <c r="C66" i="5"/>
  <c r="D53" i="5"/>
  <c r="D40" i="5" a="1"/>
  <c r="D40" i="5" s="1"/>
  <c r="C27" i="5"/>
  <c r="C14" i="5"/>
  <c r="B12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Rafiul Haq</author>
  </authors>
  <commentList>
    <comment ref="E113" authorId="0" shapeId="0" xr:uid="{55F824EB-FEE0-4C3A-ABD1-40809DA9CB79}">
      <text>
        <r>
          <rPr>
            <sz val="12"/>
            <color indexed="81"/>
            <rFont val="Calibri"/>
            <family val="2"/>
            <scheme val="minor"/>
          </rPr>
          <t>Join the marks with a comma using either any of the functions: CONCATENATE, CONCAT, TEXTJOIN
or
use the ampersand operator (&amp;)</t>
        </r>
      </text>
    </comment>
    <comment ref="B122" authorId="0" shapeId="0" xr:uid="{EA6D6508-93FE-430E-A25B-1D041CF0C05E}">
      <text>
        <r>
          <rPr>
            <sz val="12"/>
            <color indexed="81"/>
            <rFont val="Calibri"/>
            <family val="2"/>
            <scheme val="minor"/>
          </rPr>
          <t>The lookup_value inside the MATCH function will be "100,100"</t>
        </r>
      </text>
    </comment>
    <comment ref="B125" authorId="0" shapeId="0" xr:uid="{CD6FC462-F8DB-4877-AF09-B3A0BEA2AF71}">
      <text>
        <r>
          <rPr>
            <sz val="12"/>
            <color indexed="81"/>
            <rFont val="Calibri"/>
            <family val="2"/>
            <scheme val="minor"/>
          </rPr>
          <t>Press Alt+F11 to bring up the VBA window.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<sst xmlns="http://schemas.openxmlformats.org/spreadsheetml/2006/main" count="352" uniqueCount="55">
  <si>
    <t>INDEX MATCH Excel Practice Exercises</t>
  </si>
  <si>
    <t>Order ID</t>
  </si>
  <si>
    <t>Product</t>
  </si>
  <si>
    <t>Price</t>
  </si>
  <si>
    <t>Laptop</t>
  </si>
  <si>
    <t>Mobile Phone</t>
  </si>
  <si>
    <t>Fitness Tracker</t>
  </si>
  <si>
    <t>Smart Watch</t>
  </si>
  <si>
    <t>Tablet</t>
  </si>
  <si>
    <t>Exercise 01 Lookup from Left to Right:</t>
  </si>
  <si>
    <t>Exercise 02 Lookup from Right to Left:</t>
  </si>
  <si>
    <t>Exercise 03 Lookup Two Columns (Array Formula):</t>
  </si>
  <si>
    <t>Exercise 04 Two Way Lookup:</t>
  </si>
  <si>
    <t>Column Name</t>
  </si>
  <si>
    <t>Exercise 05 Lookup with Partial Match:</t>
  </si>
  <si>
    <t>Lap</t>
  </si>
  <si>
    <t>Salesman</t>
  </si>
  <si>
    <t>Frank</t>
  </si>
  <si>
    <t>Nathan</t>
  </si>
  <si>
    <t>Jack</t>
  </si>
  <si>
    <t>Dexter</t>
  </si>
  <si>
    <t>Aaron</t>
  </si>
  <si>
    <t>Robbins</t>
  </si>
  <si>
    <t>Venus</t>
  </si>
  <si>
    <t>Hawkings</t>
  </si>
  <si>
    <t>Samuelson</t>
  </si>
  <si>
    <t>Richards</t>
  </si>
  <si>
    <t>Peter</t>
  </si>
  <si>
    <t>Mathematics</t>
  </si>
  <si>
    <t>Chemistry</t>
  </si>
  <si>
    <t>Combined Score (Helper Column)</t>
  </si>
  <si>
    <t>Student</t>
  </si>
  <si>
    <t>Gender</t>
  </si>
  <si>
    <t>Country</t>
  </si>
  <si>
    <t>Male</t>
  </si>
  <si>
    <t>Female</t>
  </si>
  <si>
    <t>Helena</t>
  </si>
  <si>
    <t>Bailey</t>
  </si>
  <si>
    <t>Israel</t>
  </si>
  <si>
    <t>USA</t>
  </si>
  <si>
    <t>Hungary</t>
  </si>
  <si>
    <t>Czech Republic</t>
  </si>
  <si>
    <t>Canada</t>
  </si>
  <si>
    <t>Exercise 10 Use of VBA INDEX MATCH:</t>
  </si>
  <si>
    <t>Date</t>
  </si>
  <si>
    <t>Today's Date</t>
  </si>
  <si>
    <t>Upcoming Birthday</t>
  </si>
  <si>
    <t>Birthday Date</t>
  </si>
  <si>
    <t>Exercise 06 Multiple Criteria Lookup:</t>
  </si>
  <si>
    <t>Exercise 08 Find Approximate Match:</t>
  </si>
  <si>
    <t>Exercise 09 Multiple Criteria Without Array Formula:</t>
  </si>
  <si>
    <t>Exercise 11 Find Upcoming Event:</t>
  </si>
  <si>
    <t>Exercise 07 Retrieve Values of Entire Row:</t>
  </si>
  <si>
    <t>Nearest Price</t>
  </si>
  <si>
    <t>Birthday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</si>
</sst>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[$-409]mmmm\ d\,\ yyyy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2"/>
      <color indexed="8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E1F4FF"/>
        <bgColor indexed="64"/>
      </patternFill>
    </fill>
    <fill>
      <patternFill patternType="solid">
        <fgColor rgb="FFFFE5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71B8FF"/>
      </bottom>
      <diagonal/>
    </border>
  </borders>
  <cellStyleXfs count="2">
    <xf numFmtId="0" fontId="0" fillId="0" borderId="0"/>
    <xf numFmtId="0" fontId="5" fillId="0" borderId="2" applyNumberFormat="0" applyFill="0" applyAlignment="0" applyProtection="0"/>
  </cellStyleXfs>
  <cellXfs count="21">
    <xf numFmtId="0" fontId="0" fillId="0" borderId="0" xfId="0"/>
    <xf numFmtId="0" fontId="3" fillId="0" borderId="0" xfId="0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8" fontId="3" fillId="0" borderId="1" xfId="0" applyNumberFormat="1" applyFont="1" applyBorder="1" applyAlignment="1">
      <alignment horizontal="center" vertical="center"/>
    </xf>
    <xf numFmtId="6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6" fontId="4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6" fontId="4" fillId="0" borderId="1" xfId="0" applyNumberFormat="1" applyFont="1" applyBorder="1" applyAlignment="1">
      <alignment vertical="center"/>
    </xf>
    <xf numFmtId="0" fontId="5" fillId="3" borderId="2" xfId="1" applyFont="1" applyFill="1" applyAlignment="1">
      <alignment horizontal="center" vertical="center"/>
    </xf>
  </cellXfs>
  <cellStyles count="2">
    <cellStyle name="Heading 2" xfId="1" builtinId="17" customBuiltin="1"/>
    <cellStyle name="Normal" xfId="0" builtinId="0"/>
  </cellStyles>
  <dxfs count="0"/>
  <tableStyles count="0" defaultTableStyle="TableStyleMedium2" defaultPivotStyle="PivotStyleLight16"/>
  <colors>
    <mruColors>
      <color rgb="FFFFE5FF"/>
      <color rgb="FFE1F4FF"/>
      <color rgb="FFFFCCFF"/>
      <color rgb="FF71B8FF"/>
      <color rgb="FF99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2200275</xdr:colOff>
      <xdr:row>37</xdr:row>
      <xdr:rowOff>152400</xdr:rowOff>
    </xdr:from>
    <xdr:to>
      <xdr:col>10</xdr:col>
      <xdr:colOff>542925</xdr:colOff>
      <xdr:row>45</xdr:row>
      <xdr:rowOff>228599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9A7C10ED-285D-44BB-880E-57D5B40B2E5A}"/>
            </a:ext>
          </a:extLst>
        </xdr:cNvPr>
        <xdr:cNvSpPr/>
      </xdr:nvSpPr>
      <xdr:spPr>
        <a:xfrm>
          <a:off x="7172325" y="9315450"/>
          <a:ext cx="6962775" cy="2057399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03 Lookup Two Columns (Array Formula):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Use an array formula to search data from two columns (Product and Order ID) and return a single output (Price).</a:t>
          </a:r>
        </a:p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04 Two Way Lookup: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Apply the MATCH function twice to find the product name from an order ID (133409) and column name (“Product”).</a:t>
          </a:r>
        </a:p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05 Lookup with Partial Match: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this exercise, find the price of a partially matched product name (“Lap”) using a wildcard character(*).</a:t>
          </a:r>
          <a:endParaRPr lang="en-US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1885950</xdr:colOff>
      <xdr:row>73</xdr:row>
      <xdr:rowOff>66675</xdr:rowOff>
    </xdr:from>
    <xdr:to>
      <xdr:col>10</xdr:col>
      <xdr:colOff>228600</xdr:colOff>
      <xdr:row>81</xdr:row>
      <xdr:rowOff>66675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DD7FADA1-6FBD-4911-8C90-E8986771A029}"/>
            </a:ext>
          </a:extLst>
        </xdr:cNvPr>
        <xdr:cNvSpPr/>
      </xdr:nvSpPr>
      <xdr:spPr>
        <a:xfrm>
          <a:off x="6858000" y="18145125"/>
          <a:ext cx="6962775" cy="1981200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06 Multiple Criteria Lookup: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Use a different formula than the exercise 03 to find the price of a product sold (“Mobile Phone”) by a specific salesman (“Aaron”). Hint: use a multiplication formula inside the lookup_array of the MATCH function.</a:t>
          </a:r>
        </a:p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07 Retrieve Values of Entire Row: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Create a formula to return the row values of a salesman named “Dexter”.</a:t>
          </a:r>
        </a:p>
      </xdr:txBody>
    </xdr:sp>
    <xdr:clientData/>
  </xdr:twoCellAnchor>
  <xdr:twoCellAnchor>
    <xdr:from>
      <xdr:col>4</xdr:col>
      <xdr:colOff>1314450</xdr:colOff>
      <xdr:row>131</xdr:row>
      <xdr:rowOff>133350</xdr:rowOff>
    </xdr:from>
    <xdr:to>
      <xdr:col>9</xdr:col>
      <xdr:colOff>266700</xdr:colOff>
      <xdr:row>139</xdr:row>
      <xdr:rowOff>28575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49C77B2F-4814-49B7-A0A8-F0C51FFC0B0E}"/>
            </a:ext>
          </a:extLst>
        </xdr:cNvPr>
        <xdr:cNvSpPr/>
      </xdr:nvSpPr>
      <xdr:spPr>
        <a:xfrm>
          <a:off x="6286500" y="32575500"/>
          <a:ext cx="6962775" cy="1876425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10 Use of VBA INDEX MATCH: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Apply VBA code to return the Gender and Country name for the student named “Samuelson”.</a:t>
          </a:r>
        </a:p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11 Find Upcoming Event: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Five people’s names and birthdays are given. Additionally, the current date is shown. Combine the functions to create two formulas to return the name and date of an upcoming birthday.</a:t>
          </a:r>
          <a:endParaRPr lang="en-US" sz="18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533400</xdr:colOff>
      <xdr:row>102</xdr:row>
      <xdr:rowOff>238124</xdr:rowOff>
    </xdr:from>
    <xdr:to>
      <xdr:col>12</xdr:col>
      <xdr:colOff>361950</xdr:colOff>
      <xdr:row>110</xdr:row>
      <xdr:rowOff>38099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A5E7E797-3301-493E-97A1-CFAE6250400A}"/>
            </a:ext>
          </a:extLst>
        </xdr:cNvPr>
        <xdr:cNvSpPr/>
      </xdr:nvSpPr>
      <xdr:spPr>
        <a:xfrm>
          <a:off x="8210550" y="25498424"/>
          <a:ext cx="6962775" cy="1781175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08 Find Approximate Match: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Find the product name from the nearest price given ($450). Remember, you need to sort your data to use this formula.</a:t>
          </a:r>
        </a:p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09 Multiple Criteria Without Array Formula: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Find the student who got 100 in both the subjects. You need to use a helper column to do this.</a:t>
          </a:r>
        </a:p>
      </xdr:txBody>
    </xdr:sp>
    <xdr:clientData/>
  </xdr:twoCellAnchor>
  <xdr:twoCellAnchor>
    <xdr:from>
      <xdr:col>4</xdr:col>
      <xdr:colOff>1733550</xdr:colOff>
      <xdr:row>8</xdr:row>
      <xdr:rowOff>47625</xdr:rowOff>
    </xdr:from>
    <xdr:to>
      <xdr:col>10</xdr:col>
      <xdr:colOff>76200</xdr:colOff>
      <xdr:row>14</xdr:row>
      <xdr:rowOff>219075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E0D411BB-65C7-463C-9AD1-1D8E11AE6C18}"/>
            </a:ext>
          </a:extLst>
        </xdr:cNvPr>
        <xdr:cNvSpPr/>
      </xdr:nvSpPr>
      <xdr:spPr>
        <a:xfrm>
          <a:off x="6705600" y="2028825"/>
          <a:ext cx="6962775" cy="1657350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01 Lookup from Left to Right: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Find the price of a specific Order ID (131403).</a:t>
          </a:r>
        </a:p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02 Lookup from Right to Left: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Lookup the Order ID from a specific price ($50). This time, you will search for data from the right side to the left side.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2552700</xdr:colOff>
      <xdr:row>39</xdr:row>
      <xdr:rowOff>238125</xdr:rowOff>
    </xdr:from>
    <xdr:to>
      <xdr:col>11</xdr:col>
      <xdr:colOff>285750</xdr:colOff>
      <xdr:row>48</xdr:row>
      <xdr:rowOff>66674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BCBEA452-F57E-4862-A323-0D1E0E8556D7}"/>
            </a:ext>
          </a:extLst>
        </xdr:cNvPr>
        <xdr:cNvSpPr/>
      </xdr:nvSpPr>
      <xdr:spPr>
        <a:xfrm>
          <a:off x="7524750" y="9896475"/>
          <a:ext cx="6962775" cy="2057399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03 Lookup Two Columns (Array Formula):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Use an array formula to search data from two columns (Product and Order ID) and return a single output (Price).</a:t>
          </a:r>
        </a:p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04 Two Way Lookup: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Apply the MATCH function twice to find the product name from an order ID (133409) and column name (“Product”).</a:t>
          </a:r>
        </a:p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05 Lookup with Partial Match: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 this exercise, find the price of a partially matched product name (“Lap”) using a wildcard character(*).</a:t>
          </a:r>
          <a:endParaRPr lang="en-US" sz="14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2238375</xdr:colOff>
      <xdr:row>75</xdr:row>
      <xdr:rowOff>152400</xdr:rowOff>
    </xdr:from>
    <xdr:to>
      <xdr:col>10</xdr:col>
      <xdr:colOff>581025</xdr:colOff>
      <xdr:row>83</xdr:row>
      <xdr:rowOff>152400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EE9BF9C8-D1EC-4BF1-A2E6-1CE196652E49}"/>
            </a:ext>
          </a:extLst>
        </xdr:cNvPr>
        <xdr:cNvSpPr/>
      </xdr:nvSpPr>
      <xdr:spPr>
        <a:xfrm>
          <a:off x="7210425" y="18726150"/>
          <a:ext cx="6962775" cy="1981200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06 Multiple Criteria Lookup: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Use a different formula than the exercise 03 to find the price of a product sold (“Mobile Phone”) by a specific salesman (“Aaron”). Hint: use a multiplication formula inside the lookup_array of the MATCH function.</a:t>
          </a:r>
        </a:p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07 Retrieve Values of Entire Row: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Create a formula to return the row values of a salesman named “Dexter”.</a:t>
          </a:r>
        </a:p>
      </xdr:txBody>
    </xdr:sp>
    <xdr:clientData/>
  </xdr:twoCellAnchor>
  <xdr:twoCellAnchor>
    <xdr:from>
      <xdr:col>4</xdr:col>
      <xdr:colOff>1666875</xdr:colOff>
      <xdr:row>133</xdr:row>
      <xdr:rowOff>219075</xdr:rowOff>
    </xdr:from>
    <xdr:to>
      <xdr:col>10</xdr:col>
      <xdr:colOff>9525</xdr:colOff>
      <xdr:row>141</xdr:row>
      <xdr:rowOff>114300</xdr:rowOff>
    </xdr:to>
    <xdr:sp macro="" textlink="">
      <xdr:nvSpPr>
        <xdr:cNvPr id="7" name="Speech Bubble: Rectangle with Corners Rounded 6">
          <a:extLst>
            <a:ext uri="{FF2B5EF4-FFF2-40B4-BE49-F238E27FC236}">
              <a16:creationId xmlns:a16="http://schemas.microsoft.com/office/drawing/2014/main" id="{4C4FC6C1-C4E3-4C30-86C6-009A4E3F8BF6}"/>
            </a:ext>
          </a:extLst>
        </xdr:cNvPr>
        <xdr:cNvSpPr/>
      </xdr:nvSpPr>
      <xdr:spPr>
        <a:xfrm>
          <a:off x="6638925" y="33156525"/>
          <a:ext cx="6962775" cy="1876425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10 Use of VBA INDEX MATCH: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Apply VBA code to return the Gender and Country name for the student named “Samuelson”.</a:t>
          </a:r>
        </a:p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11 Find Upcoming Event: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Five people’s names and birthdays are given. Additionally, the current date is shown. Combine the functions to create two formulas to return the name and date of an upcoming birthday.</a:t>
          </a:r>
          <a:endParaRPr lang="en-US" sz="18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104775</xdr:colOff>
      <xdr:row>105</xdr:row>
      <xdr:rowOff>76199</xdr:rowOff>
    </xdr:from>
    <xdr:to>
      <xdr:col>13</xdr:col>
      <xdr:colOff>104775</xdr:colOff>
      <xdr:row>112</xdr:row>
      <xdr:rowOff>123824</xdr:rowOff>
    </xdr:to>
    <xdr:sp macro="" textlink="">
      <xdr:nvSpPr>
        <xdr:cNvPr id="8" name="Speech Bubble: Rectangle with Corners Rounded 7">
          <a:extLst>
            <a:ext uri="{FF2B5EF4-FFF2-40B4-BE49-F238E27FC236}">
              <a16:creationId xmlns:a16="http://schemas.microsoft.com/office/drawing/2014/main" id="{D31EF1EE-F63F-43E1-8AAD-03744FDEBA71}"/>
            </a:ext>
          </a:extLst>
        </xdr:cNvPr>
        <xdr:cNvSpPr/>
      </xdr:nvSpPr>
      <xdr:spPr>
        <a:xfrm>
          <a:off x="8562975" y="26079449"/>
          <a:ext cx="6962775" cy="1781175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08 Find Approximate Match: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Find the product name from the nearest price given ($450). Remember, you need to sort your data to use this formula.</a:t>
          </a:r>
        </a:p>
        <a:p>
          <a:pPr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09 Multiple Criteria Without Array Formula: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Find the student who got 100 in both the subjects. You need to use a helper column to do this.</a:t>
          </a:r>
        </a:p>
      </xdr:txBody>
    </xdr:sp>
    <xdr:clientData/>
  </xdr:twoCellAnchor>
  <xdr:twoCellAnchor>
    <xdr:from>
      <xdr:col>4</xdr:col>
      <xdr:colOff>2085975</xdr:colOff>
      <xdr:row>10</xdr:row>
      <xdr:rowOff>133350</xdr:rowOff>
    </xdr:from>
    <xdr:to>
      <xdr:col>10</xdr:col>
      <xdr:colOff>428625</xdr:colOff>
      <xdr:row>17</xdr:row>
      <xdr:rowOff>57150</xdr:rowOff>
    </xdr:to>
    <xdr:sp macro="" textlink="">
      <xdr:nvSpPr>
        <xdr:cNvPr id="9" name="Speech Bubble: Rectangle with Corners Rounded 8">
          <a:extLst>
            <a:ext uri="{FF2B5EF4-FFF2-40B4-BE49-F238E27FC236}">
              <a16:creationId xmlns:a16="http://schemas.microsoft.com/office/drawing/2014/main" id="{00F1B67C-7D74-4DD7-BD8C-4DCF2921FF22}"/>
            </a:ext>
          </a:extLst>
        </xdr:cNvPr>
        <xdr:cNvSpPr/>
      </xdr:nvSpPr>
      <xdr:spPr>
        <a:xfrm>
          <a:off x="7058025" y="2609850"/>
          <a:ext cx="6962775" cy="1657350"/>
        </a:xfrm>
        <a:prstGeom prst="wedgeRoundRectCallout">
          <a:avLst>
            <a:gd name="adj1" fmla="val -62025"/>
            <a:gd name="adj2" fmla="val 27935"/>
            <a:gd name="adj3" fmla="val 16667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01 Lookup from Left to Right: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Find the price of a specific Order ID (131403).</a:t>
          </a:r>
        </a:p>
        <a:p>
          <a:pPr algn="l" rtl="0" fontAlgn="base"/>
          <a:r>
            <a:rPr lang="en-US" sz="14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Exercise 02 Lookup from Right to Left: </a:t>
          </a:r>
          <a:r>
            <a:rPr lang="en-US" sz="14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Lookup the Order ID from a specific price ($50). This time, you will search for data from the right side to the left side.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398ED-03A0-473A-B0E9-49D0AA72856A}">
  <sheetPr codeName="Sheet2"/>
  <dimension ref="B2:J148"/>
  <sheetViews>
    <sheetView showGridLines="0" tabSelected="1" workbookViewId="0">
      <selection activeCell="E8" sqref="E8"/>
    </sheetView>
  </sheetViews>
  <sheetFormatPr defaultRowHeight="20.100000000000001" customHeight="1" x14ac:dyDescent="0.25"/>
  <cols>
    <col min="1" max="1" width="3.7109375" style="1" customWidth="1"/>
    <col min="2" max="2" width="23.85546875" style="1" customWidth="1"/>
    <col min="3" max="3" width="24.5703125" style="1" customWidth="1"/>
    <col min="4" max="4" width="22.42578125" style="1" customWidth="1"/>
    <col min="5" max="5" width="40.5703125" style="1" bestFit="1" customWidth="1"/>
    <col min="6" max="6" width="11.7109375" style="1" customWidth="1"/>
    <col min="7" max="7" width="12.28515625" style="1" customWidth="1"/>
    <col min="8" max="8" width="40.5703125" style="1" customWidth="1"/>
    <col min="9" max="9" width="15" style="1" bestFit="1" customWidth="1"/>
    <col min="10" max="13" width="9.140625" style="1"/>
    <col min="14" max="14" width="13.7109375" style="1" bestFit="1" customWidth="1"/>
    <col min="15" max="15" width="12.42578125" style="1" bestFit="1" customWidth="1"/>
    <col min="16" max="16384" width="9.140625" style="1"/>
  </cols>
  <sheetData>
    <row r="2" spans="2:10" ht="20.100000000000001" customHeight="1" thickBot="1" x14ac:dyDescent="0.3">
      <c r="B2" s="20" t="s">
        <v>0</v>
      </c>
      <c r="C2" s="20"/>
      <c r="D2" s="20"/>
      <c r="E2"/>
      <c r="F2"/>
      <c r="G2"/>
    </row>
    <row r="3" spans="2:10" ht="20.100000000000001" customHeight="1" thickTop="1" x14ac:dyDescent="0.25"/>
    <row r="4" spans="2:10" ht="20.100000000000001" customHeight="1" x14ac:dyDescent="0.25">
      <c r="B4" s="8" t="s">
        <v>9</v>
      </c>
    </row>
    <row r="5" spans="2:10" ht="20.100000000000001" customHeight="1" x14ac:dyDescent="0.25">
      <c r="B5" s="3" t="s">
        <v>1</v>
      </c>
      <c r="C5" s="3" t="s">
        <v>2</v>
      </c>
      <c r="D5" s="3" t="s">
        <v>3</v>
      </c>
    </row>
    <row r="6" spans="2:10" ht="20.100000000000001" customHeight="1" x14ac:dyDescent="0.25">
      <c r="B6" s="4">
        <v>131402</v>
      </c>
      <c r="C6" s="5" t="s">
        <v>4</v>
      </c>
      <c r="D6" s="7">
        <v>1199</v>
      </c>
    </row>
    <row r="7" spans="2:10" ht="20.100000000000001" customHeight="1" x14ac:dyDescent="0.25">
      <c r="B7" s="4">
        <v>131403</v>
      </c>
      <c r="C7" s="5" t="s">
        <v>5</v>
      </c>
      <c r="D7" s="7">
        <v>429</v>
      </c>
      <c r="J7" s="2"/>
    </row>
    <row r="8" spans="2:10" ht="20.100000000000001" customHeight="1" x14ac:dyDescent="0.25">
      <c r="B8" s="4">
        <v>131461</v>
      </c>
      <c r="C8" s="5" t="s">
        <v>6</v>
      </c>
      <c r="D8" s="6">
        <v>149.94999999999999</v>
      </c>
      <c r="F8"/>
      <c r="G8"/>
      <c r="J8" s="2"/>
    </row>
    <row r="9" spans="2:10" ht="20.100000000000001" customHeight="1" x14ac:dyDescent="0.25">
      <c r="B9" s="4">
        <v>132444</v>
      </c>
      <c r="C9" s="5" t="s">
        <v>7</v>
      </c>
      <c r="D9" s="7">
        <v>299</v>
      </c>
      <c r="F9"/>
      <c r="G9"/>
      <c r="J9" s="2"/>
    </row>
    <row r="10" spans="2:10" ht="20.100000000000001" customHeight="1" x14ac:dyDescent="0.25">
      <c r="B10" s="4">
        <v>133409</v>
      </c>
      <c r="C10" s="5" t="s">
        <v>8</v>
      </c>
      <c r="D10" s="7">
        <v>715</v>
      </c>
      <c r="F10"/>
      <c r="G10"/>
      <c r="J10" s="2"/>
    </row>
    <row r="11" spans="2:10" ht="20.100000000000001" customHeight="1" x14ac:dyDescent="0.25">
      <c r="B11" s="4">
        <v>135417</v>
      </c>
      <c r="C11" s="5" t="s">
        <v>6</v>
      </c>
      <c r="D11" s="7">
        <v>50</v>
      </c>
      <c r="J11" s="2"/>
    </row>
    <row r="12" spans="2:10" ht="20.100000000000001" customHeight="1" x14ac:dyDescent="0.25">
      <c r="J12" s="2"/>
    </row>
    <row r="13" spans="2:10" ht="20.100000000000001" customHeight="1" x14ac:dyDescent="0.25">
      <c r="B13" s="12" t="s">
        <v>1</v>
      </c>
      <c r="C13" s="9" t="s">
        <v>3</v>
      </c>
    </row>
    <row r="14" spans="2:10" ht="20.100000000000001" customHeight="1" x14ac:dyDescent="0.25">
      <c r="B14" s="4">
        <v>131403</v>
      </c>
      <c r="C14" s="19"/>
    </row>
    <row r="17" spans="2:4" ht="20.100000000000001" customHeight="1" x14ac:dyDescent="0.25">
      <c r="B17" s="8" t="s">
        <v>10</v>
      </c>
    </row>
    <row r="18" spans="2:4" ht="20.100000000000001" customHeight="1" x14ac:dyDescent="0.25">
      <c r="B18" s="3" t="s">
        <v>1</v>
      </c>
      <c r="C18" s="3" t="s">
        <v>2</v>
      </c>
      <c r="D18" s="3" t="s">
        <v>3</v>
      </c>
    </row>
    <row r="19" spans="2:4" ht="20.100000000000001" customHeight="1" x14ac:dyDescent="0.25">
      <c r="B19" s="4">
        <v>131402</v>
      </c>
      <c r="C19" s="5" t="s">
        <v>4</v>
      </c>
      <c r="D19" s="7">
        <v>1199</v>
      </c>
    </row>
    <row r="20" spans="2:4" ht="20.100000000000001" customHeight="1" x14ac:dyDescent="0.25">
      <c r="B20" s="4">
        <v>131403</v>
      </c>
      <c r="C20" s="5" t="s">
        <v>5</v>
      </c>
      <c r="D20" s="7">
        <v>429</v>
      </c>
    </row>
    <row r="21" spans="2:4" ht="20.100000000000001" customHeight="1" x14ac:dyDescent="0.25">
      <c r="B21" s="4">
        <v>131461</v>
      </c>
      <c r="C21" s="5" t="s">
        <v>6</v>
      </c>
      <c r="D21" s="6">
        <v>149.94999999999999</v>
      </c>
    </row>
    <row r="22" spans="2:4" ht="20.100000000000001" customHeight="1" x14ac:dyDescent="0.25">
      <c r="B22" s="4">
        <v>132444</v>
      </c>
      <c r="C22" s="5" t="s">
        <v>7</v>
      </c>
      <c r="D22" s="7">
        <v>299</v>
      </c>
    </row>
    <row r="23" spans="2:4" ht="20.100000000000001" customHeight="1" x14ac:dyDescent="0.25">
      <c r="B23" s="4">
        <v>133409</v>
      </c>
      <c r="C23" s="5" t="s">
        <v>8</v>
      </c>
      <c r="D23" s="7">
        <v>715</v>
      </c>
    </row>
    <row r="24" spans="2:4" ht="20.100000000000001" customHeight="1" x14ac:dyDescent="0.25">
      <c r="B24" s="4">
        <v>135417</v>
      </c>
      <c r="C24" s="5" t="s">
        <v>6</v>
      </c>
      <c r="D24" s="7">
        <v>50</v>
      </c>
    </row>
    <row r="26" spans="2:4" ht="20.100000000000001" customHeight="1" x14ac:dyDescent="0.25">
      <c r="B26" s="12" t="s">
        <v>3</v>
      </c>
      <c r="C26" s="9" t="s">
        <v>1</v>
      </c>
    </row>
    <row r="27" spans="2:4" ht="20.100000000000001" customHeight="1" x14ac:dyDescent="0.25">
      <c r="B27" s="7">
        <v>50</v>
      </c>
      <c r="C27" s="10"/>
    </row>
    <row r="30" spans="2:4" ht="20.100000000000001" customHeight="1" x14ac:dyDescent="0.25">
      <c r="B30" s="8" t="s">
        <v>11</v>
      </c>
    </row>
    <row r="31" spans="2:4" ht="20.100000000000001" customHeight="1" x14ac:dyDescent="0.25">
      <c r="B31" s="3" t="s">
        <v>1</v>
      </c>
      <c r="C31" s="3" t="s">
        <v>2</v>
      </c>
      <c r="D31" s="3" t="s">
        <v>3</v>
      </c>
    </row>
    <row r="32" spans="2:4" ht="20.100000000000001" customHeight="1" x14ac:dyDescent="0.25">
      <c r="B32" s="4">
        <v>131402</v>
      </c>
      <c r="C32" s="5" t="s">
        <v>4</v>
      </c>
      <c r="D32" s="7">
        <v>1199</v>
      </c>
    </row>
    <row r="33" spans="2:4" ht="20.100000000000001" customHeight="1" x14ac:dyDescent="0.25">
      <c r="B33" s="4">
        <v>131403</v>
      </c>
      <c r="C33" s="5" t="s">
        <v>5</v>
      </c>
      <c r="D33" s="7">
        <v>429</v>
      </c>
    </row>
    <row r="34" spans="2:4" ht="20.100000000000001" customHeight="1" x14ac:dyDescent="0.25">
      <c r="B34" s="4">
        <v>131461</v>
      </c>
      <c r="C34" s="5" t="s">
        <v>6</v>
      </c>
      <c r="D34" s="6">
        <v>149.94999999999999</v>
      </c>
    </row>
    <row r="35" spans="2:4" ht="20.100000000000001" customHeight="1" x14ac:dyDescent="0.25">
      <c r="B35" s="4">
        <v>132444</v>
      </c>
      <c r="C35" s="5" t="s">
        <v>7</v>
      </c>
      <c r="D35" s="7">
        <v>299</v>
      </c>
    </row>
    <row r="36" spans="2:4" ht="20.100000000000001" customHeight="1" x14ac:dyDescent="0.25">
      <c r="B36" s="4">
        <v>133409</v>
      </c>
      <c r="C36" s="13" t="s">
        <v>4</v>
      </c>
      <c r="D36" s="7">
        <v>715</v>
      </c>
    </row>
    <row r="37" spans="2:4" ht="20.100000000000001" customHeight="1" x14ac:dyDescent="0.25">
      <c r="B37" s="4">
        <v>135417</v>
      </c>
      <c r="C37" s="5" t="s">
        <v>6</v>
      </c>
      <c r="D37" s="7">
        <v>50</v>
      </c>
    </row>
    <row r="39" spans="2:4" ht="20.100000000000001" customHeight="1" x14ac:dyDescent="0.25">
      <c r="B39" s="12" t="s">
        <v>2</v>
      </c>
      <c r="C39" s="12" t="s">
        <v>1</v>
      </c>
      <c r="D39" s="9" t="s">
        <v>3</v>
      </c>
    </row>
    <row r="40" spans="2:4" ht="20.100000000000001" customHeight="1" x14ac:dyDescent="0.25">
      <c r="B40" s="14" t="s">
        <v>4</v>
      </c>
      <c r="C40" s="14">
        <v>133409</v>
      </c>
      <c r="D40" s="11"/>
    </row>
    <row r="43" spans="2:4" ht="20.100000000000001" customHeight="1" x14ac:dyDescent="0.25">
      <c r="B43" s="8" t="s">
        <v>12</v>
      </c>
    </row>
    <row r="44" spans="2:4" ht="20.100000000000001" customHeight="1" x14ac:dyDescent="0.25">
      <c r="B44" s="3" t="s">
        <v>1</v>
      </c>
      <c r="C44" s="3" t="s">
        <v>2</v>
      </c>
      <c r="D44" s="3" t="s">
        <v>3</v>
      </c>
    </row>
    <row r="45" spans="2:4" ht="20.100000000000001" customHeight="1" x14ac:dyDescent="0.25">
      <c r="B45" s="4">
        <v>131402</v>
      </c>
      <c r="C45" s="5" t="s">
        <v>4</v>
      </c>
      <c r="D45" s="7">
        <v>1199</v>
      </c>
    </row>
    <row r="46" spans="2:4" ht="20.100000000000001" customHeight="1" x14ac:dyDescent="0.25">
      <c r="B46" s="4">
        <v>131403</v>
      </c>
      <c r="C46" s="5" t="s">
        <v>5</v>
      </c>
      <c r="D46" s="7">
        <v>429</v>
      </c>
    </row>
    <row r="47" spans="2:4" ht="20.100000000000001" customHeight="1" x14ac:dyDescent="0.25">
      <c r="B47" s="4">
        <v>131461</v>
      </c>
      <c r="C47" s="5" t="s">
        <v>6</v>
      </c>
      <c r="D47" s="6">
        <v>149.94999999999999</v>
      </c>
    </row>
    <row r="48" spans="2:4" ht="20.100000000000001" customHeight="1" x14ac:dyDescent="0.25">
      <c r="B48" s="4">
        <v>132444</v>
      </c>
      <c r="C48" s="5" t="s">
        <v>7</v>
      </c>
      <c r="D48" s="7">
        <v>299</v>
      </c>
    </row>
    <row r="49" spans="2:4" ht="20.100000000000001" customHeight="1" x14ac:dyDescent="0.25">
      <c r="B49" s="4">
        <v>133409</v>
      </c>
      <c r="C49" s="13" t="s">
        <v>4</v>
      </c>
      <c r="D49" s="7">
        <v>715</v>
      </c>
    </row>
    <row r="50" spans="2:4" ht="20.100000000000001" customHeight="1" x14ac:dyDescent="0.25">
      <c r="B50" s="4">
        <v>135417</v>
      </c>
      <c r="C50" s="5" t="s">
        <v>6</v>
      </c>
      <c r="D50" s="7">
        <v>50</v>
      </c>
    </row>
    <row r="52" spans="2:4" ht="20.100000000000001" customHeight="1" x14ac:dyDescent="0.25">
      <c r="B52" s="12" t="s">
        <v>1</v>
      </c>
      <c r="C52" s="12" t="s">
        <v>13</v>
      </c>
      <c r="D52" s="9" t="s">
        <v>2</v>
      </c>
    </row>
    <row r="53" spans="2:4" ht="20.100000000000001" customHeight="1" x14ac:dyDescent="0.25">
      <c r="B53" s="14">
        <v>133409</v>
      </c>
      <c r="C53" s="14" t="s">
        <v>2</v>
      </c>
      <c r="D53" s="11"/>
    </row>
    <row r="56" spans="2:4" ht="20.100000000000001" customHeight="1" x14ac:dyDescent="0.25">
      <c r="B56" s="8" t="s">
        <v>14</v>
      </c>
    </row>
    <row r="57" spans="2:4" ht="20.100000000000001" customHeight="1" x14ac:dyDescent="0.25">
      <c r="B57" s="3" t="s">
        <v>1</v>
      </c>
      <c r="C57" s="3" t="s">
        <v>2</v>
      </c>
      <c r="D57" s="3" t="s">
        <v>3</v>
      </c>
    </row>
    <row r="58" spans="2:4" ht="20.100000000000001" customHeight="1" x14ac:dyDescent="0.25">
      <c r="B58" s="4">
        <v>131402</v>
      </c>
      <c r="C58" s="5" t="s">
        <v>4</v>
      </c>
      <c r="D58" s="7">
        <v>1199</v>
      </c>
    </row>
    <row r="59" spans="2:4" ht="20.100000000000001" customHeight="1" x14ac:dyDescent="0.25">
      <c r="B59" s="4">
        <v>131403</v>
      </c>
      <c r="C59" s="5" t="s">
        <v>5</v>
      </c>
      <c r="D59" s="7">
        <v>429</v>
      </c>
    </row>
    <row r="60" spans="2:4" ht="20.100000000000001" customHeight="1" x14ac:dyDescent="0.25">
      <c r="B60" s="4">
        <v>131461</v>
      </c>
      <c r="C60" s="5" t="s">
        <v>6</v>
      </c>
      <c r="D60" s="6">
        <v>149.94999999999999</v>
      </c>
    </row>
    <row r="61" spans="2:4" ht="20.100000000000001" customHeight="1" x14ac:dyDescent="0.25">
      <c r="B61" s="4">
        <v>132444</v>
      </c>
      <c r="C61" s="5" t="s">
        <v>7</v>
      </c>
      <c r="D61" s="7">
        <v>299</v>
      </c>
    </row>
    <row r="62" spans="2:4" ht="20.100000000000001" customHeight="1" x14ac:dyDescent="0.25">
      <c r="B62" s="4">
        <v>133409</v>
      </c>
      <c r="C62" s="13" t="s">
        <v>4</v>
      </c>
      <c r="D62" s="7">
        <v>715</v>
      </c>
    </row>
    <row r="63" spans="2:4" ht="20.100000000000001" customHeight="1" x14ac:dyDescent="0.25">
      <c r="B63" s="4">
        <v>135417</v>
      </c>
      <c r="C63" s="5" t="s">
        <v>6</v>
      </c>
      <c r="D63" s="7">
        <v>50</v>
      </c>
    </row>
    <row r="65" spans="2:4" ht="20.100000000000001" customHeight="1" x14ac:dyDescent="0.25">
      <c r="B65" s="12" t="s">
        <v>2</v>
      </c>
      <c r="C65" s="9" t="s">
        <v>3</v>
      </c>
    </row>
    <row r="66" spans="2:4" ht="20.100000000000001" customHeight="1" x14ac:dyDescent="0.25">
      <c r="B66" s="14" t="s">
        <v>15</v>
      </c>
      <c r="C66" s="11"/>
    </row>
    <row r="69" spans="2:4" ht="20.100000000000001" customHeight="1" x14ac:dyDescent="0.25">
      <c r="B69" s="8" t="s">
        <v>48</v>
      </c>
    </row>
    <row r="70" spans="2:4" ht="20.100000000000001" customHeight="1" x14ac:dyDescent="0.25">
      <c r="B70" s="3" t="s">
        <v>16</v>
      </c>
      <c r="C70" s="3" t="s">
        <v>2</v>
      </c>
      <c r="D70" s="3" t="s">
        <v>3</v>
      </c>
    </row>
    <row r="71" spans="2:4" ht="20.100000000000001" customHeight="1" x14ac:dyDescent="0.25">
      <c r="B71" s="14" t="s">
        <v>21</v>
      </c>
      <c r="C71" s="5" t="s">
        <v>4</v>
      </c>
      <c r="D71" s="7">
        <v>1199</v>
      </c>
    </row>
    <row r="72" spans="2:4" ht="20.100000000000001" customHeight="1" x14ac:dyDescent="0.25">
      <c r="B72" s="14" t="s">
        <v>21</v>
      </c>
      <c r="C72" s="5" t="s">
        <v>5</v>
      </c>
      <c r="D72" s="7">
        <v>429</v>
      </c>
    </row>
    <row r="73" spans="2:4" ht="20.100000000000001" customHeight="1" x14ac:dyDescent="0.25">
      <c r="B73" s="14" t="s">
        <v>17</v>
      </c>
      <c r="C73" s="5" t="s">
        <v>6</v>
      </c>
      <c r="D73" s="6">
        <v>149.94999999999999</v>
      </c>
    </row>
    <row r="74" spans="2:4" ht="20.100000000000001" customHeight="1" x14ac:dyDescent="0.25">
      <c r="B74" s="14" t="s">
        <v>18</v>
      </c>
      <c r="C74" s="5" t="s">
        <v>7</v>
      </c>
      <c r="D74" s="7">
        <v>299</v>
      </c>
    </row>
    <row r="75" spans="2:4" ht="20.100000000000001" customHeight="1" x14ac:dyDescent="0.25">
      <c r="B75" s="14" t="s">
        <v>19</v>
      </c>
      <c r="C75" s="13" t="s">
        <v>4</v>
      </c>
      <c r="D75" s="7">
        <v>715</v>
      </c>
    </row>
    <row r="76" spans="2:4" ht="20.100000000000001" customHeight="1" x14ac:dyDescent="0.25">
      <c r="B76" s="14" t="s">
        <v>20</v>
      </c>
      <c r="C76" s="5" t="s">
        <v>6</v>
      </c>
      <c r="D76" s="7">
        <v>50</v>
      </c>
    </row>
    <row r="78" spans="2:4" ht="20.100000000000001" customHeight="1" x14ac:dyDescent="0.25">
      <c r="B78" s="12" t="s">
        <v>16</v>
      </c>
      <c r="C78" s="12" t="s">
        <v>2</v>
      </c>
      <c r="D78" s="9" t="s">
        <v>3</v>
      </c>
    </row>
    <row r="79" spans="2:4" ht="20.100000000000001" customHeight="1" x14ac:dyDescent="0.25">
      <c r="B79" s="14" t="s">
        <v>21</v>
      </c>
      <c r="C79" s="14" t="s">
        <v>5</v>
      </c>
      <c r="D79" s="11"/>
    </row>
    <row r="82" spans="2:4" ht="20.100000000000001" customHeight="1" x14ac:dyDescent="0.25">
      <c r="B82" s="8" t="s">
        <v>52</v>
      </c>
    </row>
    <row r="83" spans="2:4" ht="20.100000000000001" customHeight="1" x14ac:dyDescent="0.25">
      <c r="B83" s="3" t="s">
        <v>16</v>
      </c>
      <c r="C83" s="3" t="s">
        <v>2</v>
      </c>
      <c r="D83" s="3" t="s">
        <v>3</v>
      </c>
    </row>
    <row r="84" spans="2:4" ht="20.100000000000001" customHeight="1" x14ac:dyDescent="0.25">
      <c r="B84" s="14" t="s">
        <v>21</v>
      </c>
      <c r="C84" s="5" t="s">
        <v>4</v>
      </c>
      <c r="D84" s="7">
        <v>1199</v>
      </c>
    </row>
    <row r="85" spans="2:4" ht="20.100000000000001" customHeight="1" x14ac:dyDescent="0.25">
      <c r="B85" s="14" t="s">
        <v>21</v>
      </c>
      <c r="C85" s="5" t="s">
        <v>5</v>
      </c>
      <c r="D85" s="7">
        <v>429</v>
      </c>
    </row>
    <row r="86" spans="2:4" ht="20.100000000000001" customHeight="1" x14ac:dyDescent="0.25">
      <c r="B86" s="14" t="s">
        <v>17</v>
      </c>
      <c r="C86" s="5" t="s">
        <v>6</v>
      </c>
      <c r="D86" s="6">
        <v>149.94999999999999</v>
      </c>
    </row>
    <row r="87" spans="2:4" ht="20.100000000000001" customHeight="1" x14ac:dyDescent="0.25">
      <c r="B87" s="14" t="s">
        <v>18</v>
      </c>
      <c r="C87" s="5" t="s">
        <v>7</v>
      </c>
      <c r="D87" s="7">
        <v>299</v>
      </c>
    </row>
    <row r="88" spans="2:4" ht="20.100000000000001" customHeight="1" x14ac:dyDescent="0.25">
      <c r="B88" s="14" t="s">
        <v>19</v>
      </c>
      <c r="C88" s="13" t="s">
        <v>4</v>
      </c>
      <c r="D88" s="7">
        <v>715</v>
      </c>
    </row>
    <row r="89" spans="2:4" ht="20.100000000000001" customHeight="1" x14ac:dyDescent="0.25">
      <c r="B89" s="14" t="s">
        <v>20</v>
      </c>
      <c r="C89" s="5" t="s">
        <v>6</v>
      </c>
      <c r="D89" s="7">
        <v>50</v>
      </c>
    </row>
    <row r="92" spans="2:4" ht="20.100000000000001" customHeight="1" x14ac:dyDescent="0.25">
      <c r="B92" s="12" t="s">
        <v>16</v>
      </c>
    </row>
    <row r="93" spans="2:4" ht="20.100000000000001" customHeight="1" x14ac:dyDescent="0.25">
      <c r="B93" s="14" t="s">
        <v>20</v>
      </c>
    </row>
    <row r="95" spans="2:4" ht="20.100000000000001" customHeight="1" x14ac:dyDescent="0.25">
      <c r="B95" s="9" t="s">
        <v>16</v>
      </c>
      <c r="C95" s="9" t="s">
        <v>2</v>
      </c>
      <c r="D95" s="9" t="s">
        <v>2</v>
      </c>
    </row>
    <row r="96" spans="2:4" ht="20.100000000000001" customHeight="1" x14ac:dyDescent="0.25">
      <c r="B96" s="14"/>
      <c r="C96" s="14"/>
      <c r="D96" s="11"/>
    </row>
    <row r="99" spans="2:4" ht="20.100000000000001" customHeight="1" x14ac:dyDescent="0.25">
      <c r="B99" s="8" t="s">
        <v>49</v>
      </c>
    </row>
    <row r="100" spans="2:4" ht="20.100000000000001" customHeight="1" x14ac:dyDescent="0.25">
      <c r="B100" s="3" t="s">
        <v>16</v>
      </c>
      <c r="C100" s="3" t="s">
        <v>2</v>
      </c>
      <c r="D100" s="3" t="s">
        <v>3</v>
      </c>
    </row>
    <row r="101" spans="2:4" ht="20.100000000000001" customHeight="1" x14ac:dyDescent="0.25">
      <c r="B101" s="14" t="s">
        <v>20</v>
      </c>
      <c r="C101" s="5" t="s">
        <v>6</v>
      </c>
      <c r="D101" s="7">
        <v>50</v>
      </c>
    </row>
    <row r="102" spans="2:4" ht="20.100000000000001" customHeight="1" x14ac:dyDescent="0.25">
      <c r="B102" s="14" t="s">
        <v>17</v>
      </c>
      <c r="C102" s="5" t="s">
        <v>6</v>
      </c>
      <c r="D102" s="6">
        <v>149.94999999999999</v>
      </c>
    </row>
    <row r="103" spans="2:4" ht="20.100000000000001" customHeight="1" x14ac:dyDescent="0.25">
      <c r="B103" s="14" t="s">
        <v>18</v>
      </c>
      <c r="C103" s="5" t="s">
        <v>7</v>
      </c>
      <c r="D103" s="7">
        <v>299</v>
      </c>
    </row>
    <row r="104" spans="2:4" ht="20.100000000000001" customHeight="1" x14ac:dyDescent="0.25">
      <c r="B104" s="14" t="s">
        <v>21</v>
      </c>
      <c r="C104" s="5" t="s">
        <v>5</v>
      </c>
      <c r="D104" s="7">
        <v>429</v>
      </c>
    </row>
    <row r="105" spans="2:4" ht="20.100000000000001" customHeight="1" x14ac:dyDescent="0.25">
      <c r="B105" s="14" t="s">
        <v>19</v>
      </c>
      <c r="C105" s="13" t="s">
        <v>4</v>
      </c>
      <c r="D105" s="7">
        <v>715</v>
      </c>
    </row>
    <row r="106" spans="2:4" ht="20.100000000000001" customHeight="1" x14ac:dyDescent="0.25">
      <c r="B106" s="14" t="s">
        <v>21</v>
      </c>
      <c r="C106" s="5" t="s">
        <v>4</v>
      </c>
      <c r="D106" s="7">
        <v>1199</v>
      </c>
    </row>
    <row r="108" spans="2:4" ht="20.100000000000001" customHeight="1" x14ac:dyDescent="0.25">
      <c r="B108" s="12" t="s">
        <v>53</v>
      </c>
      <c r="C108" s="9" t="s">
        <v>2</v>
      </c>
    </row>
    <row r="109" spans="2:4" ht="20.100000000000001" customHeight="1" x14ac:dyDescent="0.25">
      <c r="B109" s="15">
        <v>450</v>
      </c>
      <c r="C109" s="11"/>
    </row>
    <row r="112" spans="2:4" ht="20.100000000000001" customHeight="1" x14ac:dyDescent="0.25">
      <c r="B112" s="8" t="s">
        <v>50</v>
      </c>
    </row>
    <row r="113" spans="2:5" ht="20.100000000000001" customHeight="1" x14ac:dyDescent="0.25">
      <c r="B113" s="3" t="s">
        <v>31</v>
      </c>
      <c r="C113" s="3" t="s">
        <v>28</v>
      </c>
      <c r="D113" s="3" t="s">
        <v>29</v>
      </c>
      <c r="E113" s="9" t="s">
        <v>30</v>
      </c>
    </row>
    <row r="114" spans="2:5" ht="20.100000000000001" customHeight="1" x14ac:dyDescent="0.25">
      <c r="B114" s="14" t="s">
        <v>22</v>
      </c>
      <c r="C114" s="5">
        <v>67</v>
      </c>
      <c r="D114" s="5">
        <v>82</v>
      </c>
      <c r="E114" s="4"/>
    </row>
    <row r="115" spans="2:5" ht="20.100000000000001" customHeight="1" x14ac:dyDescent="0.25">
      <c r="B115" s="14" t="s">
        <v>23</v>
      </c>
      <c r="C115" s="5">
        <v>82</v>
      </c>
      <c r="D115" s="5">
        <v>87</v>
      </c>
      <c r="E115" s="4"/>
    </row>
    <row r="116" spans="2:5" ht="20.100000000000001" customHeight="1" x14ac:dyDescent="0.25">
      <c r="B116" s="14" t="s">
        <v>24</v>
      </c>
      <c r="C116" s="5">
        <v>46</v>
      </c>
      <c r="D116" s="5">
        <v>65</v>
      </c>
      <c r="E116" s="4"/>
    </row>
    <row r="117" spans="2:5" ht="20.100000000000001" customHeight="1" x14ac:dyDescent="0.25">
      <c r="B117" s="14" t="s">
        <v>25</v>
      </c>
      <c r="C117" s="5">
        <v>63</v>
      </c>
      <c r="D117" s="5">
        <v>81</v>
      </c>
      <c r="E117" s="4"/>
    </row>
    <row r="118" spans="2:5" ht="20.100000000000001" customHeight="1" x14ac:dyDescent="0.25">
      <c r="B118" s="14" t="s">
        <v>26</v>
      </c>
      <c r="C118" s="13">
        <v>100</v>
      </c>
      <c r="D118" s="13">
        <v>100</v>
      </c>
      <c r="E118" s="4"/>
    </row>
    <row r="119" spans="2:5" ht="20.100000000000001" customHeight="1" x14ac:dyDescent="0.25">
      <c r="B119" s="14" t="s">
        <v>27</v>
      </c>
      <c r="C119" s="5">
        <v>58</v>
      </c>
      <c r="D119" s="5">
        <v>90</v>
      </c>
      <c r="E119" s="4"/>
    </row>
    <row r="121" spans="2:5" ht="20.100000000000001" customHeight="1" x14ac:dyDescent="0.25">
      <c r="B121" s="9" t="s">
        <v>31</v>
      </c>
    </row>
    <row r="122" spans="2:5" ht="20.100000000000001" customHeight="1" x14ac:dyDescent="0.25">
      <c r="B122" s="11"/>
    </row>
    <row r="125" spans="2:5" ht="20.100000000000001" customHeight="1" x14ac:dyDescent="0.25">
      <c r="B125" s="8" t="s">
        <v>43</v>
      </c>
    </row>
    <row r="126" spans="2:5" ht="20.100000000000001" customHeight="1" x14ac:dyDescent="0.25">
      <c r="B126" s="3" t="s">
        <v>31</v>
      </c>
      <c r="C126" s="3" t="s">
        <v>32</v>
      </c>
      <c r="D126" s="3" t="s">
        <v>33</v>
      </c>
    </row>
    <row r="127" spans="2:5" ht="20.100000000000001" customHeight="1" x14ac:dyDescent="0.25">
      <c r="B127" s="14" t="s">
        <v>22</v>
      </c>
      <c r="C127" s="13" t="s">
        <v>34</v>
      </c>
      <c r="D127" s="13" t="s">
        <v>38</v>
      </c>
    </row>
    <row r="128" spans="2:5" ht="20.100000000000001" customHeight="1" x14ac:dyDescent="0.25">
      <c r="B128" s="14" t="s">
        <v>23</v>
      </c>
      <c r="C128" s="13" t="s">
        <v>35</v>
      </c>
      <c r="D128" s="13" t="s">
        <v>39</v>
      </c>
    </row>
    <row r="129" spans="2:4" ht="20.100000000000001" customHeight="1" x14ac:dyDescent="0.25">
      <c r="B129" s="14" t="s">
        <v>24</v>
      </c>
      <c r="C129" s="13" t="s">
        <v>34</v>
      </c>
      <c r="D129" s="13" t="s">
        <v>42</v>
      </c>
    </row>
    <row r="130" spans="2:4" ht="20.100000000000001" customHeight="1" x14ac:dyDescent="0.25">
      <c r="B130" s="14" t="s">
        <v>25</v>
      </c>
      <c r="C130" s="13" t="s">
        <v>34</v>
      </c>
      <c r="D130" s="13" t="s">
        <v>39</v>
      </c>
    </row>
    <row r="131" spans="2:4" ht="20.100000000000001" customHeight="1" x14ac:dyDescent="0.25">
      <c r="B131" s="14" t="s">
        <v>36</v>
      </c>
      <c r="C131" s="13" t="s">
        <v>35</v>
      </c>
      <c r="D131" s="13" t="s">
        <v>40</v>
      </c>
    </row>
    <row r="132" spans="2:4" ht="20.100000000000001" customHeight="1" x14ac:dyDescent="0.25">
      <c r="B132" s="14" t="s">
        <v>37</v>
      </c>
      <c r="C132" s="13" t="s">
        <v>35</v>
      </c>
      <c r="D132" s="13" t="s">
        <v>41</v>
      </c>
    </row>
    <row r="134" spans="2:4" ht="20.100000000000001" customHeight="1" x14ac:dyDescent="0.25">
      <c r="B134" s="12" t="s">
        <v>31</v>
      </c>
      <c r="C134" s="9" t="s">
        <v>32</v>
      </c>
      <c r="D134" s="9" t="s">
        <v>33</v>
      </c>
    </row>
    <row r="135" spans="2:4" ht="20.100000000000001" customHeight="1" x14ac:dyDescent="0.25">
      <c r="B135" s="15" t="s">
        <v>25</v>
      </c>
      <c r="C135" s="10"/>
      <c r="D135" s="10"/>
    </row>
    <row r="138" spans="2:4" ht="20.100000000000001" customHeight="1" x14ac:dyDescent="0.25">
      <c r="B138" s="8" t="s">
        <v>51</v>
      </c>
    </row>
    <row r="139" spans="2:4" ht="20.100000000000001" customHeight="1" x14ac:dyDescent="0.25">
      <c r="B139" s="3" t="s">
        <v>54</v>
      </c>
      <c r="C139" s="3" t="s">
        <v>44</v>
      </c>
    </row>
    <row r="140" spans="2:4" ht="20.100000000000001" customHeight="1" x14ac:dyDescent="0.25">
      <c r="B140" s="14" t="s">
        <v>22</v>
      </c>
      <c r="C140" s="16">
        <v>44790</v>
      </c>
    </row>
    <row r="141" spans="2:4" ht="20.100000000000001" customHeight="1" x14ac:dyDescent="0.25">
      <c r="B141" s="14" t="s">
        <v>23</v>
      </c>
      <c r="C141" s="17">
        <v>44876</v>
      </c>
    </row>
    <row r="142" spans="2:4" ht="20.100000000000001" customHeight="1" x14ac:dyDescent="0.25">
      <c r="B142" s="14" t="s">
        <v>24</v>
      </c>
      <c r="C142" s="16">
        <v>44898</v>
      </c>
    </row>
    <row r="143" spans="2:4" ht="20.100000000000001" customHeight="1" x14ac:dyDescent="0.25">
      <c r="B143" s="14" t="s">
        <v>25</v>
      </c>
      <c r="C143" s="16">
        <v>44914</v>
      </c>
    </row>
    <row r="144" spans="2:4" ht="20.100000000000001" customHeight="1" x14ac:dyDescent="0.25">
      <c r="B144" s="14" t="s">
        <v>36</v>
      </c>
      <c r="C144" s="16">
        <v>44953</v>
      </c>
    </row>
    <row r="146" spans="2:3" ht="20.100000000000001" customHeight="1" x14ac:dyDescent="0.25">
      <c r="B146" s="12" t="s">
        <v>45</v>
      </c>
      <c r="C146" s="16">
        <v>44879</v>
      </c>
    </row>
    <row r="147" spans="2:3" ht="20.100000000000001" customHeight="1" x14ac:dyDescent="0.25">
      <c r="B147" s="9" t="s">
        <v>46</v>
      </c>
      <c r="C147" s="10"/>
    </row>
    <row r="148" spans="2:3" ht="20.100000000000001" customHeight="1" x14ac:dyDescent="0.25">
      <c r="B148" s="9" t="s">
        <v>47</v>
      </c>
      <c r="C148" s="18"/>
    </row>
  </sheetData>
  <mergeCells count="1">
    <mergeCell ref="B2:D2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A6-1947-45CB-9C72-F247552FBE15}">
  <sheetPr codeName="Sheet1"/>
  <dimension ref="B2:J148"/>
  <sheetViews>
    <sheetView showGridLines="0" topLeftCell="A136" workbookViewId="0">
      <selection activeCell="E26" sqref="E26"/>
    </sheetView>
  </sheetViews>
  <sheetFormatPr defaultRowHeight="20.100000000000001" customHeight="1" x14ac:dyDescent="0.25"/>
  <cols>
    <col min="1" max="1" width="3.7109375" style="1" customWidth="1"/>
    <col min="2" max="2" width="23.85546875" style="1" customWidth="1"/>
    <col min="3" max="3" width="24.5703125" style="1" customWidth="1"/>
    <col min="4" max="4" width="22.42578125" style="1" customWidth="1"/>
    <col min="5" max="5" width="40.5703125" style="1" bestFit="1" customWidth="1"/>
    <col min="6" max="6" width="11.7109375" style="1" customWidth="1"/>
    <col min="7" max="7" width="12.28515625" style="1" customWidth="1"/>
    <col min="8" max="8" width="40.5703125" style="1" customWidth="1"/>
    <col min="9" max="9" width="15" style="1" bestFit="1" customWidth="1"/>
    <col min="10" max="13" width="9.140625" style="1"/>
    <col min="14" max="14" width="13.7109375" style="1" bestFit="1" customWidth="1"/>
    <col min="15" max="15" width="12.42578125" style="1" bestFit="1" customWidth="1"/>
    <col min="16" max="16384" width="9.140625" style="1"/>
  </cols>
  <sheetData>
    <row r="2" spans="2:10" ht="20.100000000000001" customHeight="1" thickBot="1" x14ac:dyDescent="0.3">
      <c r="B2" s="20" t="s">
        <v>0</v>
      </c>
      <c r="C2" s="20"/>
      <c r="D2" s="20"/>
      <c r="E2"/>
      <c r="F2"/>
      <c r="G2"/>
    </row>
    <row r="3" spans="2:10" ht="20.100000000000001" customHeight="1" thickTop="1" x14ac:dyDescent="0.25"/>
    <row r="4" spans="2:10" ht="20.100000000000001" customHeight="1" x14ac:dyDescent="0.25">
      <c r="B4" s="8" t="s">
        <v>9</v>
      </c>
    </row>
    <row r="5" spans="2:10" ht="20.100000000000001" customHeight="1" x14ac:dyDescent="0.25">
      <c r="B5" s="3" t="s">
        <v>1</v>
      </c>
      <c r="C5" s="3" t="s">
        <v>2</v>
      </c>
      <c r="D5" s="3" t="s">
        <v>3</v>
      </c>
    </row>
    <row r="6" spans="2:10" ht="20.100000000000001" customHeight="1" x14ac:dyDescent="0.25">
      <c r="B6" s="4">
        <v>131402</v>
      </c>
      <c r="C6" s="5" t="s">
        <v>4</v>
      </c>
      <c r="D6" s="7">
        <v>1199</v>
      </c>
    </row>
    <row r="7" spans="2:10" ht="20.100000000000001" customHeight="1" x14ac:dyDescent="0.25">
      <c r="B7" s="4">
        <v>131403</v>
      </c>
      <c r="C7" s="5" t="s">
        <v>5</v>
      </c>
      <c r="D7" s="7">
        <v>429</v>
      </c>
      <c r="J7" s="2"/>
    </row>
    <row r="8" spans="2:10" ht="20.100000000000001" customHeight="1" x14ac:dyDescent="0.25">
      <c r="B8" s="4">
        <v>131461</v>
      </c>
      <c r="C8" s="5" t="s">
        <v>6</v>
      </c>
      <c r="D8" s="6">
        <v>149.94999999999999</v>
      </c>
      <c r="F8"/>
      <c r="G8"/>
      <c r="J8" s="2"/>
    </row>
    <row r="9" spans="2:10" ht="20.100000000000001" customHeight="1" x14ac:dyDescent="0.25">
      <c r="B9" s="4">
        <v>132444</v>
      </c>
      <c r="C9" s="5" t="s">
        <v>7</v>
      </c>
      <c r="D9" s="7">
        <v>299</v>
      </c>
      <c r="F9"/>
      <c r="G9"/>
      <c r="J9" s="2"/>
    </row>
    <row r="10" spans="2:10" ht="20.100000000000001" customHeight="1" x14ac:dyDescent="0.25">
      <c r="B10" s="4">
        <v>133409</v>
      </c>
      <c r="C10" s="5" t="s">
        <v>8</v>
      </c>
      <c r="D10" s="7">
        <v>715</v>
      </c>
      <c r="F10"/>
      <c r="G10"/>
      <c r="J10" s="2"/>
    </row>
    <row r="11" spans="2:10" ht="20.100000000000001" customHeight="1" x14ac:dyDescent="0.25">
      <c r="B11" s="4">
        <v>135417</v>
      </c>
      <c r="C11" s="5" t="s">
        <v>6</v>
      </c>
      <c r="D11" s="7">
        <v>50</v>
      </c>
      <c r="J11" s="2"/>
    </row>
    <row r="12" spans="2:10" ht="20.100000000000001" customHeight="1" x14ac:dyDescent="0.25">
      <c r="J12" s="2"/>
    </row>
    <row r="13" spans="2:10" ht="20.100000000000001" customHeight="1" x14ac:dyDescent="0.25">
      <c r="B13" s="12" t="s">
        <v>1</v>
      </c>
      <c r="C13" s="9" t="s">
        <v>3</v>
      </c>
    </row>
    <row r="14" spans="2:10" ht="20.100000000000001" customHeight="1" x14ac:dyDescent="0.25">
      <c r="B14" s="4">
        <v>131403</v>
      </c>
      <c r="C14" s="11">
        <f>INDEX(D6:D11,MATCH(B14,B6:B11,0))</f>
        <v>429</v>
      </c>
    </row>
    <row r="17" spans="2:4" ht="20.100000000000001" customHeight="1" x14ac:dyDescent="0.25">
      <c r="B17" s="8" t="s">
        <v>10</v>
      </c>
    </row>
    <row r="18" spans="2:4" ht="20.100000000000001" customHeight="1" x14ac:dyDescent="0.25">
      <c r="B18" s="3" t="s">
        <v>1</v>
      </c>
      <c r="C18" s="3" t="s">
        <v>2</v>
      </c>
      <c r="D18" s="3" t="s">
        <v>3</v>
      </c>
    </row>
    <row r="19" spans="2:4" ht="20.100000000000001" customHeight="1" x14ac:dyDescent="0.25">
      <c r="B19" s="4">
        <v>131402</v>
      </c>
      <c r="C19" s="5" t="s">
        <v>4</v>
      </c>
      <c r="D19" s="7">
        <v>1199</v>
      </c>
    </row>
    <row r="20" spans="2:4" ht="20.100000000000001" customHeight="1" x14ac:dyDescent="0.25">
      <c r="B20" s="4">
        <v>131403</v>
      </c>
      <c r="C20" s="5" t="s">
        <v>5</v>
      </c>
      <c r="D20" s="7">
        <v>429</v>
      </c>
    </row>
    <row r="21" spans="2:4" ht="20.100000000000001" customHeight="1" x14ac:dyDescent="0.25">
      <c r="B21" s="4">
        <v>131461</v>
      </c>
      <c r="C21" s="5" t="s">
        <v>6</v>
      </c>
      <c r="D21" s="6">
        <v>149.94999999999999</v>
      </c>
    </row>
    <row r="22" spans="2:4" ht="20.100000000000001" customHeight="1" x14ac:dyDescent="0.25">
      <c r="B22" s="4">
        <v>132444</v>
      </c>
      <c r="C22" s="5" t="s">
        <v>7</v>
      </c>
      <c r="D22" s="7">
        <v>299</v>
      </c>
    </row>
    <row r="23" spans="2:4" ht="20.100000000000001" customHeight="1" x14ac:dyDescent="0.25">
      <c r="B23" s="4">
        <v>133409</v>
      </c>
      <c r="C23" s="5" t="s">
        <v>8</v>
      </c>
      <c r="D23" s="7">
        <v>715</v>
      </c>
    </row>
    <row r="24" spans="2:4" ht="20.100000000000001" customHeight="1" x14ac:dyDescent="0.25">
      <c r="B24" s="4">
        <v>135417</v>
      </c>
      <c r="C24" s="5" t="s">
        <v>6</v>
      </c>
      <c r="D24" s="7">
        <v>50</v>
      </c>
    </row>
    <row r="26" spans="2:4" ht="20.100000000000001" customHeight="1" x14ac:dyDescent="0.25">
      <c r="B26" s="12" t="s">
        <v>3</v>
      </c>
      <c r="C26" s="9" t="s">
        <v>1</v>
      </c>
    </row>
    <row r="27" spans="2:4" ht="20.100000000000001" customHeight="1" x14ac:dyDescent="0.25">
      <c r="B27" s="7">
        <v>50</v>
      </c>
      <c r="C27" s="10">
        <f>INDEX(B19:B24,MATCH(B27,D19:D24,0))</f>
        <v>135417</v>
      </c>
    </row>
    <row r="30" spans="2:4" ht="20.100000000000001" customHeight="1" x14ac:dyDescent="0.25">
      <c r="B30" s="8" t="s">
        <v>11</v>
      </c>
    </row>
    <row r="31" spans="2:4" ht="20.100000000000001" customHeight="1" x14ac:dyDescent="0.25">
      <c r="B31" s="3" t="s">
        <v>1</v>
      </c>
      <c r="C31" s="3" t="s">
        <v>2</v>
      </c>
      <c r="D31" s="3" t="s">
        <v>3</v>
      </c>
    </row>
    <row r="32" spans="2:4" ht="20.100000000000001" customHeight="1" x14ac:dyDescent="0.25">
      <c r="B32" s="4">
        <v>131402</v>
      </c>
      <c r="C32" s="5" t="s">
        <v>4</v>
      </c>
      <c r="D32" s="7">
        <v>1199</v>
      </c>
    </row>
    <row r="33" spans="2:4" ht="20.100000000000001" customHeight="1" x14ac:dyDescent="0.25">
      <c r="B33" s="4">
        <v>131403</v>
      </c>
      <c r="C33" s="5" t="s">
        <v>5</v>
      </c>
      <c r="D33" s="7">
        <v>429</v>
      </c>
    </row>
    <row r="34" spans="2:4" ht="20.100000000000001" customHeight="1" x14ac:dyDescent="0.25">
      <c r="B34" s="4">
        <v>131461</v>
      </c>
      <c r="C34" s="5" t="s">
        <v>6</v>
      </c>
      <c r="D34" s="6">
        <v>149.94999999999999</v>
      </c>
    </row>
    <row r="35" spans="2:4" ht="20.100000000000001" customHeight="1" x14ac:dyDescent="0.25">
      <c r="B35" s="4">
        <v>132444</v>
      </c>
      <c r="C35" s="5" t="s">
        <v>7</v>
      </c>
      <c r="D35" s="7">
        <v>299</v>
      </c>
    </row>
    <row r="36" spans="2:4" ht="20.100000000000001" customHeight="1" x14ac:dyDescent="0.25">
      <c r="B36" s="4">
        <v>133409</v>
      </c>
      <c r="C36" s="13" t="s">
        <v>4</v>
      </c>
      <c r="D36" s="7">
        <v>715</v>
      </c>
    </row>
    <row r="37" spans="2:4" ht="20.100000000000001" customHeight="1" x14ac:dyDescent="0.25">
      <c r="B37" s="4">
        <v>135417</v>
      </c>
      <c r="C37" s="5" t="s">
        <v>6</v>
      </c>
      <c r="D37" s="7">
        <v>50</v>
      </c>
    </row>
    <row r="39" spans="2:4" ht="20.100000000000001" customHeight="1" x14ac:dyDescent="0.25">
      <c r="B39" s="12" t="s">
        <v>2</v>
      </c>
      <c r="C39" s="12" t="s">
        <v>1</v>
      </c>
      <c r="D39" s="9" t="s">
        <v>3</v>
      </c>
    </row>
    <row r="40" spans="2:4" ht="20.100000000000001" customHeight="1" x14ac:dyDescent="0.25">
      <c r="B40" s="14" t="s">
        <v>4</v>
      </c>
      <c r="C40" s="14">
        <v>133409</v>
      </c>
      <c r="D40" s="11">
        <f t="array" ref="D40">INDEX(D32:D37,MATCH(B40&amp;C40,C32:C37&amp;B32:B37,0))</f>
        <v>715</v>
      </c>
    </row>
    <row r="43" spans="2:4" ht="20.100000000000001" customHeight="1" x14ac:dyDescent="0.25">
      <c r="B43" s="8" t="s">
        <v>12</v>
      </c>
    </row>
    <row r="44" spans="2:4" ht="20.100000000000001" customHeight="1" x14ac:dyDescent="0.25">
      <c r="B44" s="3" t="s">
        <v>1</v>
      </c>
      <c r="C44" s="3" t="s">
        <v>2</v>
      </c>
      <c r="D44" s="3" t="s">
        <v>3</v>
      </c>
    </row>
    <row r="45" spans="2:4" ht="20.100000000000001" customHeight="1" x14ac:dyDescent="0.25">
      <c r="B45" s="4">
        <v>131402</v>
      </c>
      <c r="C45" s="5" t="s">
        <v>4</v>
      </c>
      <c r="D45" s="7">
        <v>1199</v>
      </c>
    </row>
    <row r="46" spans="2:4" ht="20.100000000000001" customHeight="1" x14ac:dyDescent="0.25">
      <c r="B46" s="4">
        <v>131403</v>
      </c>
      <c r="C46" s="5" t="s">
        <v>5</v>
      </c>
      <c r="D46" s="7">
        <v>429</v>
      </c>
    </row>
    <row r="47" spans="2:4" ht="20.100000000000001" customHeight="1" x14ac:dyDescent="0.25">
      <c r="B47" s="4">
        <v>131461</v>
      </c>
      <c r="C47" s="5" t="s">
        <v>6</v>
      </c>
      <c r="D47" s="6">
        <v>149.94999999999999</v>
      </c>
    </row>
    <row r="48" spans="2:4" ht="20.100000000000001" customHeight="1" x14ac:dyDescent="0.25">
      <c r="B48" s="4">
        <v>132444</v>
      </c>
      <c r="C48" s="5" t="s">
        <v>7</v>
      </c>
      <c r="D48" s="7">
        <v>299</v>
      </c>
    </row>
    <row r="49" spans="2:4" ht="20.100000000000001" customHeight="1" x14ac:dyDescent="0.25">
      <c r="B49" s="4">
        <v>133409</v>
      </c>
      <c r="C49" s="13" t="s">
        <v>4</v>
      </c>
      <c r="D49" s="7">
        <v>715</v>
      </c>
    </row>
    <row r="50" spans="2:4" ht="20.100000000000001" customHeight="1" x14ac:dyDescent="0.25">
      <c r="B50" s="4">
        <v>135417</v>
      </c>
      <c r="C50" s="5" t="s">
        <v>6</v>
      </c>
      <c r="D50" s="7">
        <v>50</v>
      </c>
    </row>
    <row r="52" spans="2:4" ht="20.100000000000001" customHeight="1" x14ac:dyDescent="0.25">
      <c r="B52" s="12" t="s">
        <v>1</v>
      </c>
      <c r="C52" s="12" t="s">
        <v>13</v>
      </c>
      <c r="D52" s="9" t="s">
        <v>2</v>
      </c>
    </row>
    <row r="53" spans="2:4" ht="20.100000000000001" customHeight="1" x14ac:dyDescent="0.25">
      <c r="B53" s="14">
        <v>133409</v>
      </c>
      <c r="C53" s="14" t="s">
        <v>2</v>
      </c>
      <c r="D53" s="11" t="str">
        <f>INDEX(B45:D50,MATCH(B53,B45:B50,0),MATCH(C53,B44:D44,0))</f>
        <v>Laptop</v>
      </c>
    </row>
    <row r="56" spans="2:4" ht="20.100000000000001" customHeight="1" x14ac:dyDescent="0.25">
      <c r="B56" s="8" t="s">
        <v>14</v>
      </c>
    </row>
    <row r="57" spans="2:4" ht="20.100000000000001" customHeight="1" x14ac:dyDescent="0.25">
      <c r="B57" s="3" t="s">
        <v>1</v>
      </c>
      <c r="C57" s="3" t="s">
        <v>2</v>
      </c>
      <c r="D57" s="3" t="s">
        <v>3</v>
      </c>
    </row>
    <row r="58" spans="2:4" ht="20.100000000000001" customHeight="1" x14ac:dyDescent="0.25">
      <c r="B58" s="4">
        <v>131402</v>
      </c>
      <c r="C58" s="5" t="s">
        <v>4</v>
      </c>
      <c r="D58" s="7">
        <v>1199</v>
      </c>
    </row>
    <row r="59" spans="2:4" ht="20.100000000000001" customHeight="1" x14ac:dyDescent="0.25">
      <c r="B59" s="4">
        <v>131403</v>
      </c>
      <c r="C59" s="5" t="s">
        <v>5</v>
      </c>
      <c r="D59" s="7">
        <v>429</v>
      </c>
    </row>
    <row r="60" spans="2:4" ht="20.100000000000001" customHeight="1" x14ac:dyDescent="0.25">
      <c r="B60" s="4">
        <v>131461</v>
      </c>
      <c r="C60" s="5" t="s">
        <v>6</v>
      </c>
      <c r="D60" s="6">
        <v>149.94999999999999</v>
      </c>
    </row>
    <row r="61" spans="2:4" ht="20.100000000000001" customHeight="1" x14ac:dyDescent="0.25">
      <c r="B61" s="4">
        <v>132444</v>
      </c>
      <c r="C61" s="5" t="s">
        <v>7</v>
      </c>
      <c r="D61" s="7">
        <v>299</v>
      </c>
    </row>
    <row r="62" spans="2:4" ht="20.100000000000001" customHeight="1" x14ac:dyDescent="0.25">
      <c r="B62" s="4">
        <v>133409</v>
      </c>
      <c r="C62" s="13" t="s">
        <v>4</v>
      </c>
      <c r="D62" s="7">
        <v>715</v>
      </c>
    </row>
    <row r="63" spans="2:4" ht="20.100000000000001" customHeight="1" x14ac:dyDescent="0.25">
      <c r="B63" s="4">
        <v>135417</v>
      </c>
      <c r="C63" s="5" t="s">
        <v>6</v>
      </c>
      <c r="D63" s="7">
        <v>50</v>
      </c>
    </row>
    <row r="65" spans="2:4" ht="20.100000000000001" customHeight="1" x14ac:dyDescent="0.25">
      <c r="B65" s="12" t="s">
        <v>2</v>
      </c>
      <c r="C65" s="9" t="s">
        <v>3</v>
      </c>
    </row>
    <row r="66" spans="2:4" ht="20.100000000000001" customHeight="1" x14ac:dyDescent="0.25">
      <c r="B66" s="14" t="s">
        <v>15</v>
      </c>
      <c r="C66" s="11">
        <f>INDEX(D58:D63,MATCH(B66&amp;"*",C58:C63,0))</f>
        <v>1199</v>
      </c>
    </row>
    <row r="69" spans="2:4" ht="20.100000000000001" customHeight="1" x14ac:dyDescent="0.25">
      <c r="B69" s="8" t="s">
        <v>48</v>
      </c>
    </row>
    <row r="70" spans="2:4" ht="20.100000000000001" customHeight="1" x14ac:dyDescent="0.25">
      <c r="B70" s="3" t="s">
        <v>16</v>
      </c>
      <c r="C70" s="3" t="s">
        <v>2</v>
      </c>
      <c r="D70" s="3" t="s">
        <v>3</v>
      </c>
    </row>
    <row r="71" spans="2:4" ht="20.100000000000001" customHeight="1" x14ac:dyDescent="0.25">
      <c r="B71" s="14" t="s">
        <v>21</v>
      </c>
      <c r="C71" s="5" t="s">
        <v>4</v>
      </c>
      <c r="D71" s="7">
        <v>1199</v>
      </c>
    </row>
    <row r="72" spans="2:4" ht="20.100000000000001" customHeight="1" x14ac:dyDescent="0.25">
      <c r="B72" s="14" t="s">
        <v>21</v>
      </c>
      <c r="C72" s="5" t="s">
        <v>5</v>
      </c>
      <c r="D72" s="7">
        <v>429</v>
      </c>
    </row>
    <row r="73" spans="2:4" ht="20.100000000000001" customHeight="1" x14ac:dyDescent="0.25">
      <c r="B73" s="14" t="s">
        <v>17</v>
      </c>
      <c r="C73" s="5" t="s">
        <v>6</v>
      </c>
      <c r="D73" s="6">
        <v>149.94999999999999</v>
      </c>
    </row>
    <row r="74" spans="2:4" ht="20.100000000000001" customHeight="1" x14ac:dyDescent="0.25">
      <c r="B74" s="14" t="s">
        <v>18</v>
      </c>
      <c r="C74" s="5" t="s">
        <v>7</v>
      </c>
      <c r="D74" s="7">
        <v>299</v>
      </c>
    </row>
    <row r="75" spans="2:4" ht="20.100000000000001" customHeight="1" x14ac:dyDescent="0.25">
      <c r="B75" s="14" t="s">
        <v>19</v>
      </c>
      <c r="C75" s="13" t="s">
        <v>4</v>
      </c>
      <c r="D75" s="7">
        <v>715</v>
      </c>
    </row>
    <row r="76" spans="2:4" ht="20.100000000000001" customHeight="1" x14ac:dyDescent="0.25">
      <c r="B76" s="14" t="s">
        <v>20</v>
      </c>
      <c r="C76" s="5" t="s">
        <v>6</v>
      </c>
      <c r="D76" s="7">
        <v>50</v>
      </c>
    </row>
    <row r="78" spans="2:4" ht="20.100000000000001" customHeight="1" x14ac:dyDescent="0.25">
      <c r="B78" s="12" t="s">
        <v>16</v>
      </c>
      <c r="C78" s="12" t="s">
        <v>2</v>
      </c>
      <c r="D78" s="9" t="s">
        <v>3</v>
      </c>
    </row>
    <row r="79" spans="2:4" ht="20.100000000000001" customHeight="1" x14ac:dyDescent="0.25">
      <c r="B79" s="14" t="s">
        <v>21</v>
      </c>
      <c r="C79" s="14" t="s">
        <v>5</v>
      </c>
      <c r="D79" s="11" cm="1">
        <f t="array" ref="D79">INDEX(D71:D76,MATCH(1,(B79=B71:B76)*(C79=C71:C76),0))</f>
        <v>429</v>
      </c>
    </row>
    <row r="82" spans="2:4" ht="20.100000000000001" customHeight="1" x14ac:dyDescent="0.25">
      <c r="B82" s="8" t="s">
        <v>52</v>
      </c>
    </row>
    <row r="83" spans="2:4" ht="20.100000000000001" customHeight="1" x14ac:dyDescent="0.25">
      <c r="B83" s="3" t="s">
        <v>16</v>
      </c>
      <c r="C83" s="3" t="s">
        <v>2</v>
      </c>
      <c r="D83" s="3" t="s">
        <v>3</v>
      </c>
    </row>
    <row r="84" spans="2:4" ht="20.100000000000001" customHeight="1" x14ac:dyDescent="0.25">
      <c r="B84" s="14" t="s">
        <v>21</v>
      </c>
      <c r="C84" s="5" t="s">
        <v>4</v>
      </c>
      <c r="D84" s="7">
        <v>1199</v>
      </c>
    </row>
    <row r="85" spans="2:4" ht="20.100000000000001" customHeight="1" x14ac:dyDescent="0.25">
      <c r="B85" s="14" t="s">
        <v>21</v>
      </c>
      <c r="C85" s="5" t="s">
        <v>5</v>
      </c>
      <c r="D85" s="7">
        <v>429</v>
      </c>
    </row>
    <row r="86" spans="2:4" ht="20.100000000000001" customHeight="1" x14ac:dyDescent="0.25">
      <c r="B86" s="14" t="s">
        <v>17</v>
      </c>
      <c r="C86" s="5" t="s">
        <v>6</v>
      </c>
      <c r="D86" s="6">
        <v>149.94999999999999</v>
      </c>
    </row>
    <row r="87" spans="2:4" ht="20.100000000000001" customHeight="1" x14ac:dyDescent="0.25">
      <c r="B87" s="14" t="s">
        <v>18</v>
      </c>
      <c r="C87" s="5" t="s">
        <v>7</v>
      </c>
      <c r="D87" s="7">
        <v>299</v>
      </c>
    </row>
    <row r="88" spans="2:4" ht="20.100000000000001" customHeight="1" x14ac:dyDescent="0.25">
      <c r="B88" s="14" t="s">
        <v>19</v>
      </c>
      <c r="C88" s="13" t="s">
        <v>4</v>
      </c>
      <c r="D88" s="7">
        <v>715</v>
      </c>
    </row>
    <row r="89" spans="2:4" ht="20.100000000000001" customHeight="1" x14ac:dyDescent="0.25">
      <c r="B89" s="14" t="s">
        <v>20</v>
      </c>
      <c r="C89" s="5" t="s">
        <v>6</v>
      </c>
      <c r="D89" s="7">
        <v>50</v>
      </c>
    </row>
    <row r="92" spans="2:4" ht="20.100000000000001" customHeight="1" x14ac:dyDescent="0.25">
      <c r="B92" s="12" t="s">
        <v>16</v>
      </c>
    </row>
    <row r="93" spans="2:4" ht="20.100000000000001" customHeight="1" x14ac:dyDescent="0.25">
      <c r="B93" s="14" t="s">
        <v>20</v>
      </c>
    </row>
    <row r="95" spans="2:4" ht="20.100000000000001" customHeight="1" x14ac:dyDescent="0.25">
      <c r="B95" s="9" t="s">
        <v>16</v>
      </c>
      <c r="C95" s="9" t="s">
        <v>2</v>
      </c>
      <c r="D95" s="9" t="s">
        <v>2</v>
      </c>
    </row>
    <row r="96" spans="2:4" ht="20.100000000000001" customHeight="1" x14ac:dyDescent="0.25">
      <c r="B96" s="14" t="str" cm="1">
        <f t="array" ref="B96:D96">INDEX(B84:D89,MATCH(B93,B84:B89,0),0)</f>
        <v>Dexter</v>
      </c>
      <c r="C96" s="14" t="str">
        <v>Fitness Tracker</v>
      </c>
      <c r="D96" s="11">
        <v>50</v>
      </c>
    </row>
    <row r="99" spans="2:4" ht="20.100000000000001" customHeight="1" x14ac:dyDescent="0.25">
      <c r="B99" s="8" t="s">
        <v>49</v>
      </c>
    </row>
    <row r="100" spans="2:4" ht="20.100000000000001" customHeight="1" x14ac:dyDescent="0.25">
      <c r="B100" s="3" t="s">
        <v>16</v>
      </c>
      <c r="C100" s="3" t="s">
        <v>2</v>
      </c>
      <c r="D100" s="3" t="s">
        <v>3</v>
      </c>
    </row>
    <row r="101" spans="2:4" ht="20.100000000000001" customHeight="1" x14ac:dyDescent="0.25">
      <c r="B101" s="14" t="s">
        <v>20</v>
      </c>
      <c r="C101" s="5" t="s">
        <v>6</v>
      </c>
      <c r="D101" s="7">
        <v>50</v>
      </c>
    </row>
    <row r="102" spans="2:4" ht="20.100000000000001" customHeight="1" x14ac:dyDescent="0.25">
      <c r="B102" s="14" t="s">
        <v>17</v>
      </c>
      <c r="C102" s="5" t="s">
        <v>6</v>
      </c>
      <c r="D102" s="6">
        <v>149.94999999999999</v>
      </c>
    </row>
    <row r="103" spans="2:4" ht="20.100000000000001" customHeight="1" x14ac:dyDescent="0.25">
      <c r="B103" s="14" t="s">
        <v>18</v>
      </c>
      <c r="C103" s="5" t="s">
        <v>7</v>
      </c>
      <c r="D103" s="7">
        <v>299</v>
      </c>
    </row>
    <row r="104" spans="2:4" ht="20.100000000000001" customHeight="1" x14ac:dyDescent="0.25">
      <c r="B104" s="14" t="s">
        <v>21</v>
      </c>
      <c r="C104" s="5" t="s">
        <v>5</v>
      </c>
      <c r="D104" s="7">
        <v>429</v>
      </c>
    </row>
    <row r="105" spans="2:4" ht="20.100000000000001" customHeight="1" x14ac:dyDescent="0.25">
      <c r="B105" s="14" t="s">
        <v>19</v>
      </c>
      <c r="C105" s="13" t="s">
        <v>4</v>
      </c>
      <c r="D105" s="7">
        <v>715</v>
      </c>
    </row>
    <row r="106" spans="2:4" ht="20.100000000000001" customHeight="1" x14ac:dyDescent="0.25">
      <c r="B106" s="14" t="s">
        <v>21</v>
      </c>
      <c r="C106" s="5" t="s">
        <v>4</v>
      </c>
      <c r="D106" s="7">
        <v>1199</v>
      </c>
    </row>
    <row r="108" spans="2:4" ht="20.100000000000001" customHeight="1" x14ac:dyDescent="0.25">
      <c r="B108" s="12" t="s">
        <v>53</v>
      </c>
      <c r="C108" s="9" t="s">
        <v>2</v>
      </c>
    </row>
    <row r="109" spans="2:4" ht="20.100000000000001" customHeight="1" x14ac:dyDescent="0.25">
      <c r="B109" s="15">
        <v>450</v>
      </c>
      <c r="C109" s="11" t="str">
        <f>INDEX(C101:C106,MATCH(B109,D101:D106,1),1)</f>
        <v>Mobile Phone</v>
      </c>
    </row>
    <row r="112" spans="2:4" ht="20.100000000000001" customHeight="1" x14ac:dyDescent="0.25">
      <c r="B112" s="8" t="s">
        <v>50</v>
      </c>
    </row>
    <row r="113" spans="2:5" ht="20.100000000000001" customHeight="1" x14ac:dyDescent="0.25">
      <c r="B113" s="3" t="s">
        <v>31</v>
      </c>
      <c r="C113" s="3" t="s">
        <v>28</v>
      </c>
      <c r="D113" s="3" t="s">
        <v>29</v>
      </c>
      <c r="E113" s="9" t="s">
        <v>30</v>
      </c>
    </row>
    <row r="114" spans="2:5" ht="20.100000000000001" customHeight="1" x14ac:dyDescent="0.25">
      <c r="B114" s="14" t="s">
        <v>22</v>
      </c>
      <c r="C114" s="5">
        <v>67</v>
      </c>
      <c r="D114" s="5">
        <v>82</v>
      </c>
      <c r="E114" s="4" t="str">
        <f>CONCATENATE(C114,",",D114)</f>
        <v>67,82</v>
      </c>
    </row>
    <row r="115" spans="2:5" ht="20.100000000000001" customHeight="1" x14ac:dyDescent="0.25">
      <c r="B115" s="14" t="s">
        <v>23</v>
      </c>
      <c r="C115" s="5">
        <v>82</v>
      </c>
      <c r="D115" s="5">
        <v>87</v>
      </c>
      <c r="E115" s="4" t="str">
        <f t="shared" ref="E115:E119" si="0">CONCATENATE(C115,",",D115)</f>
        <v>82,87</v>
      </c>
    </row>
    <row r="116" spans="2:5" ht="20.100000000000001" customHeight="1" x14ac:dyDescent="0.25">
      <c r="B116" s="14" t="s">
        <v>24</v>
      </c>
      <c r="C116" s="5">
        <v>46</v>
      </c>
      <c r="D116" s="5">
        <v>65</v>
      </c>
      <c r="E116" s="4" t="str">
        <f t="shared" si="0"/>
        <v>46,65</v>
      </c>
    </row>
    <row r="117" spans="2:5" ht="20.100000000000001" customHeight="1" x14ac:dyDescent="0.25">
      <c r="B117" s="14" t="s">
        <v>25</v>
      </c>
      <c r="C117" s="5">
        <v>63</v>
      </c>
      <c r="D117" s="5">
        <v>81</v>
      </c>
      <c r="E117" s="4" t="str">
        <f t="shared" si="0"/>
        <v>63,81</v>
      </c>
    </row>
    <row r="118" spans="2:5" ht="20.100000000000001" customHeight="1" x14ac:dyDescent="0.25">
      <c r="B118" s="14" t="s">
        <v>26</v>
      </c>
      <c r="C118" s="13">
        <v>100</v>
      </c>
      <c r="D118" s="13">
        <v>100</v>
      </c>
      <c r="E118" s="4" t="str">
        <f t="shared" si="0"/>
        <v>100,100</v>
      </c>
    </row>
    <row r="119" spans="2:5" ht="20.100000000000001" customHeight="1" x14ac:dyDescent="0.25">
      <c r="B119" s="14" t="s">
        <v>27</v>
      </c>
      <c r="C119" s="5">
        <v>58</v>
      </c>
      <c r="D119" s="5">
        <v>90</v>
      </c>
      <c r="E119" s="4" t="str">
        <f t="shared" si="0"/>
        <v>58,90</v>
      </c>
    </row>
    <row r="121" spans="2:5" ht="20.100000000000001" customHeight="1" x14ac:dyDescent="0.25">
      <c r="B121" s="9" t="s">
        <v>31</v>
      </c>
    </row>
    <row r="122" spans="2:5" ht="20.100000000000001" customHeight="1" x14ac:dyDescent="0.25">
      <c r="B122" s="11" t="str">
        <f>INDEX(B114:B119,MATCH("100,100",E114:E119,0))</f>
        <v>Richards</v>
      </c>
    </row>
    <row r="125" spans="2:5" ht="20.100000000000001" customHeight="1" x14ac:dyDescent="0.25">
      <c r="B125" s="8" t="s">
        <v>43</v>
      </c>
    </row>
    <row r="126" spans="2:5" ht="20.100000000000001" customHeight="1" x14ac:dyDescent="0.25">
      <c r="B126" s="3" t="s">
        <v>31</v>
      </c>
      <c r="C126" s="3" t="s">
        <v>32</v>
      </c>
      <c r="D126" s="3" t="s">
        <v>33</v>
      </c>
    </row>
    <row r="127" spans="2:5" ht="20.100000000000001" customHeight="1" x14ac:dyDescent="0.25">
      <c r="B127" s="14" t="s">
        <v>22</v>
      </c>
      <c r="C127" s="13" t="s">
        <v>34</v>
      </c>
      <c r="D127" s="13" t="s">
        <v>38</v>
      </c>
    </row>
    <row r="128" spans="2:5" ht="20.100000000000001" customHeight="1" x14ac:dyDescent="0.25">
      <c r="B128" s="14" t="s">
        <v>23</v>
      </c>
      <c r="C128" s="13" t="s">
        <v>35</v>
      </c>
      <c r="D128" s="13" t="s">
        <v>39</v>
      </c>
    </row>
    <row r="129" spans="2:4" ht="20.100000000000001" customHeight="1" x14ac:dyDescent="0.25">
      <c r="B129" s="14" t="s">
        <v>24</v>
      </c>
      <c r="C129" s="13" t="s">
        <v>34</v>
      </c>
      <c r="D129" s="13" t="s">
        <v>42</v>
      </c>
    </row>
    <row r="130" spans="2:4" ht="20.100000000000001" customHeight="1" x14ac:dyDescent="0.25">
      <c r="B130" s="14" t="s">
        <v>25</v>
      </c>
      <c r="C130" s="13" t="s">
        <v>34</v>
      </c>
      <c r="D130" s="13" t="s">
        <v>39</v>
      </c>
    </row>
    <row r="131" spans="2:4" ht="20.100000000000001" customHeight="1" x14ac:dyDescent="0.25">
      <c r="B131" s="14" t="s">
        <v>36</v>
      </c>
      <c r="C131" s="13" t="s">
        <v>35</v>
      </c>
      <c r="D131" s="13" t="s">
        <v>40</v>
      </c>
    </row>
    <row r="132" spans="2:4" ht="20.100000000000001" customHeight="1" x14ac:dyDescent="0.25">
      <c r="B132" s="14" t="s">
        <v>37</v>
      </c>
      <c r="C132" s="13" t="s">
        <v>35</v>
      </c>
      <c r="D132" s="13" t="s">
        <v>41</v>
      </c>
    </row>
    <row r="134" spans="2:4" ht="20.100000000000001" customHeight="1" x14ac:dyDescent="0.25">
      <c r="B134" s="12" t="s">
        <v>31</v>
      </c>
      <c r="C134" s="9" t="s">
        <v>32</v>
      </c>
      <c r="D134" s="9" t="s">
        <v>33</v>
      </c>
    </row>
    <row r="135" spans="2:4" ht="20.100000000000001" customHeight="1" x14ac:dyDescent="0.25">
      <c r="B135" s="15" t="s">
        <v>25</v>
      </c>
      <c r="C135" s="10" t="s">
        <v>34</v>
      </c>
      <c r="D135" s="10" t="s">
        <v>39</v>
      </c>
    </row>
    <row r="138" spans="2:4" ht="20.100000000000001" customHeight="1" x14ac:dyDescent="0.25">
      <c r="B138" s="8" t="s">
        <v>51</v>
      </c>
    </row>
    <row r="139" spans="2:4" ht="20.100000000000001" customHeight="1" x14ac:dyDescent="0.25">
      <c r="B139" s="3" t="s">
        <v>54</v>
      </c>
      <c r="C139" s="3" t="s">
        <v>44</v>
      </c>
    </row>
    <row r="140" spans="2:4" ht="20.100000000000001" customHeight="1" x14ac:dyDescent="0.25">
      <c r="B140" s="14" t="s">
        <v>22</v>
      </c>
      <c r="C140" s="16">
        <v>44790</v>
      </c>
    </row>
    <row r="141" spans="2:4" ht="20.100000000000001" customHeight="1" x14ac:dyDescent="0.25">
      <c r="B141" s="14" t="s">
        <v>23</v>
      </c>
      <c r="C141" s="17">
        <v>44876</v>
      </c>
    </row>
    <row r="142" spans="2:4" ht="20.100000000000001" customHeight="1" x14ac:dyDescent="0.25">
      <c r="B142" s="14" t="s">
        <v>24</v>
      </c>
      <c r="C142" s="16">
        <v>44898</v>
      </c>
    </row>
    <row r="143" spans="2:4" ht="20.100000000000001" customHeight="1" x14ac:dyDescent="0.25">
      <c r="B143" s="14" t="s">
        <v>25</v>
      </c>
      <c r="C143" s="16">
        <v>44914</v>
      </c>
    </row>
    <row r="144" spans="2:4" ht="20.100000000000001" customHeight="1" x14ac:dyDescent="0.25">
      <c r="B144" s="14" t="s">
        <v>36</v>
      </c>
      <c r="C144" s="16">
        <v>44953</v>
      </c>
    </row>
    <row r="146" spans="2:3" ht="20.100000000000001" customHeight="1" x14ac:dyDescent="0.25">
      <c r="B146" s="12" t="s">
        <v>45</v>
      </c>
      <c r="C146" s="16">
        <v>44879</v>
      </c>
    </row>
    <row r="147" spans="2:3" ht="20.100000000000001" customHeight="1" x14ac:dyDescent="0.25">
      <c r="B147" s="9" t="s">
        <v>46</v>
      </c>
      <c r="C147" s="10" t="str" cm="1">
        <f t="array" ref="C147">INDEX($B$140:$B$144,MATCH($C$146,$C$140:$C$144,1)+1)</f>
        <v>Hawkings</v>
      </c>
    </row>
    <row r="148" spans="2:3" ht="20.100000000000001" customHeight="1" x14ac:dyDescent="0.25">
      <c r="B148" s="9" t="s">
        <v>47</v>
      </c>
      <c r="C148" s="18" cm="1">
        <f t="array" ref="C148">INDEX(C140:C144,MATCH($C$146,$C$140:$C$144,1)+1)</f>
        <v>44898</v>
      </c>
    </row>
  </sheetData>
  <sortState xmlns:xlrd2="http://schemas.microsoft.com/office/spreadsheetml/2017/richdata2" ref="B101:D106">
    <sortCondition ref="D101:D106"/>
  </sortState>
  <mergeCells count="1">
    <mergeCell ref="B2:D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Problem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Rafi</dc:creator>
  <cp:lastModifiedBy>Rafiul Haq</cp:lastModifiedBy>
  <dcterms:created xsi:type="dcterms:W3CDTF">2015-06-05T18:17:20Z</dcterms:created>
  <dcterms:modified xsi:type="dcterms:W3CDTF">2022-11-14T08:12:44Z</dcterms:modified>
</cp:coreProperties>
</file>